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_Records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Lookup" sheetId="4" state="visible" r:id="rId4"/>
    <sheet xmlns:r="http://schemas.openxmlformats.org/officeDocument/2006/relationships" name="Weekly_Summary" sheetId="5" state="visible" r:id="rId5"/>
    <sheet xmlns:r="http://schemas.openxmlformats.org/officeDocument/2006/relationships" name="Rules" sheetId="6" state="visible" r:id="rId6"/>
  </sheets>
  <definedNames>
    <definedName name="_xlnm._FilterDatabase" localSheetId="0" hidden="1">'Raw_Data'!$A$1:$I$16</definedName>
    <definedName name="_xlnm._FilterDatabase" localSheetId="1" hidden="1">'Clean_Records'!$A$1:$K$10</definedName>
    <definedName name="_xlnm._FilterDatabase" localSheetId="2" hidden="1">'Exceptions'!$A$1:$E$7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CE4D6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Paid Total by Owner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'Weekly_Summary'!$A$2:$A$4</f>
            </numRef>
          </cat>
          <val>
            <numRef>
              <f>'Weekly_Summary'!$B$2:$B$4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Owner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27" customWidth="1" min="9" max="9"/>
  </cols>
  <sheetData>
    <row r="1">
      <c r="A1" s="1" t="inlineStr">
        <is>
          <t>Record_ID</t>
        </is>
      </c>
      <c r="B1" s="1" t="inlineStr">
        <is>
          <t>Customer</t>
        </is>
      </c>
      <c r="C1" s="1" t="inlineStr">
        <is>
          <t>Email</t>
        </is>
      </c>
      <c r="D1" s="1" t="inlineStr">
        <is>
          <t>Created</t>
        </is>
      </c>
      <c r="E1" s="1" t="inlineStr">
        <is>
          <t>Status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Owner</t>
        </is>
      </c>
      <c r="I1" s="1" t="inlineStr">
        <is>
          <t>Notes</t>
        </is>
      </c>
    </row>
    <row r="2">
      <c r="A2" t="inlineStr">
        <is>
          <t>A-1001</t>
        </is>
      </c>
      <c r="B2" t="inlineStr">
        <is>
          <t xml:space="preserve">  Alice Chen </t>
        </is>
      </c>
      <c r="C2" t="inlineStr">
        <is>
          <t>alice@example.com</t>
        </is>
      </c>
      <c r="D2" t="inlineStr">
        <is>
          <t>2026-09-01</t>
        </is>
      </c>
      <c r="E2" t="inlineStr">
        <is>
          <t>paid</t>
        </is>
      </c>
      <c r="F2" t="n">
        <v>120</v>
      </c>
      <c r="G2" t="inlineStr">
        <is>
          <t>USD</t>
        </is>
      </c>
      <c r="H2" t="inlineStr">
        <is>
          <t>Maya</t>
        </is>
      </c>
      <c r="I2" t="inlineStr">
        <is>
          <t>ok</t>
        </is>
      </c>
    </row>
    <row r="3">
      <c r="A3" t="inlineStr">
        <is>
          <t>A-1002</t>
        </is>
      </c>
      <c r="B3" t="inlineStr">
        <is>
          <t>Bob Li</t>
        </is>
      </c>
      <c r="C3" t="inlineStr">
        <is>
          <t>BOB@EXAMPLE.COM</t>
        </is>
      </c>
      <c r="D3" t="inlineStr">
        <is>
          <t>2026-09-01</t>
        </is>
      </c>
      <c r="E3" t="inlineStr">
        <is>
          <t>pending</t>
        </is>
      </c>
      <c r="F3" t="n">
        <v>80</v>
      </c>
      <c r="G3" t="inlineStr">
        <is>
          <t>USD</t>
        </is>
      </c>
      <c r="H3" t="inlineStr">
        <is>
          <t>Leo</t>
        </is>
      </c>
      <c r="I3" t="inlineStr"/>
    </row>
    <row r="4">
      <c r="A4" t="inlineStr">
        <is>
          <t>A-1002</t>
        </is>
      </c>
      <c r="B4" t="inlineStr">
        <is>
          <t>Bob Li</t>
        </is>
      </c>
      <c r="C4" t="inlineStr">
        <is>
          <t>BOB@EXAMPLE.COM</t>
        </is>
      </c>
      <c r="D4" t="inlineStr">
        <is>
          <t>2026-09-01</t>
        </is>
      </c>
      <c r="E4" t="inlineStr">
        <is>
          <t>pending</t>
        </is>
      </c>
      <c r="F4" t="n">
        <v>80</v>
      </c>
      <c r="G4" t="inlineStr">
        <is>
          <t>USD</t>
        </is>
      </c>
      <c r="H4" t="inlineStr">
        <is>
          <t>Leo</t>
        </is>
      </c>
      <c r="I4" t="inlineStr">
        <is>
          <t>duplicate upload</t>
        </is>
      </c>
    </row>
    <row r="5">
      <c r="A5" t="inlineStr">
        <is>
          <t>A-1003</t>
        </is>
      </c>
      <c r="B5" t="inlineStr">
        <is>
          <t>Carla Gomez</t>
        </is>
      </c>
      <c r="C5" t="inlineStr"/>
      <c r="D5" t="inlineStr">
        <is>
          <t>2026-09-02</t>
        </is>
      </c>
      <c r="E5" t="inlineStr">
        <is>
          <t>paid</t>
        </is>
      </c>
      <c r="F5" t="n">
        <v>240</v>
      </c>
      <c r="G5" t="inlineStr">
        <is>
          <t>USD</t>
        </is>
      </c>
      <c r="H5" t="inlineStr">
        <is>
          <t>Maya</t>
        </is>
      </c>
      <c r="I5" t="inlineStr">
        <is>
          <t>missing email</t>
        </is>
      </c>
    </row>
    <row r="6">
      <c r="A6" t="inlineStr">
        <is>
          <t>A-1004</t>
        </is>
      </c>
      <c r="B6" t="inlineStr">
        <is>
          <t>David Kim</t>
        </is>
      </c>
      <c r="C6" t="inlineStr">
        <is>
          <t>david@example.com</t>
        </is>
      </c>
      <c r="D6" t="inlineStr">
        <is>
          <t>2026-09-02</t>
        </is>
      </c>
      <c r="E6" t="inlineStr">
        <is>
          <t>refunded</t>
        </is>
      </c>
      <c r="F6" t="n">
        <v>-25</v>
      </c>
      <c r="G6" t="inlineStr">
        <is>
          <t>USD</t>
        </is>
      </c>
      <c r="H6" t="inlineStr">
        <is>
          <t>Leo</t>
        </is>
      </c>
      <c r="I6" t="inlineStr">
        <is>
          <t>negative amount</t>
        </is>
      </c>
    </row>
    <row r="7">
      <c r="A7" t="inlineStr">
        <is>
          <t>A-1005</t>
        </is>
      </c>
      <c r="B7" t="inlineStr">
        <is>
          <t>Elena Petrova</t>
        </is>
      </c>
      <c r="C7" t="inlineStr">
        <is>
          <t>elena@example.com</t>
        </is>
      </c>
      <c r="D7" t="inlineStr">
        <is>
          <t>09/03/2026</t>
        </is>
      </c>
      <c r="E7" t="inlineStr">
        <is>
          <t>PAID</t>
        </is>
      </c>
      <c r="F7" t="n">
        <v>310</v>
      </c>
      <c r="G7" t="inlineStr">
        <is>
          <t>USD</t>
        </is>
      </c>
      <c r="H7" t="inlineStr">
        <is>
          <t>Nora</t>
        </is>
      </c>
      <c r="I7" t="inlineStr">
        <is>
          <t>date needs normalization</t>
        </is>
      </c>
    </row>
    <row r="8">
      <c r="A8" t="inlineStr">
        <is>
          <t>A-1006</t>
        </is>
      </c>
      <c r="B8" t="inlineStr">
        <is>
          <t>Fatima Noor</t>
        </is>
      </c>
      <c r="C8" t="inlineStr">
        <is>
          <t>fatima@example.com</t>
        </is>
      </c>
      <c r="D8" t="inlineStr">
        <is>
          <t>2026-09-03</t>
        </is>
      </c>
      <c r="E8" t="inlineStr">
        <is>
          <t>paid</t>
        </is>
      </c>
      <c r="F8" t="n">
        <v>175</v>
      </c>
      <c r="G8" t="inlineStr">
        <is>
          <t>USD</t>
        </is>
      </c>
      <c r="H8" t="inlineStr">
        <is>
          <t>Maya</t>
        </is>
      </c>
      <c r="I8" t="inlineStr"/>
    </row>
    <row r="9">
      <c r="A9" t="inlineStr">
        <is>
          <t>A-1007</t>
        </is>
      </c>
      <c r="B9" t="inlineStr">
        <is>
          <t>George Tan</t>
        </is>
      </c>
      <c r="C9" t="inlineStr">
        <is>
          <t>george@example.com</t>
        </is>
      </c>
      <c r="D9" t="inlineStr">
        <is>
          <t>not a date</t>
        </is>
      </c>
      <c r="E9" t="inlineStr">
        <is>
          <t>pending</t>
        </is>
      </c>
      <c r="F9" t="n">
        <v>60</v>
      </c>
      <c r="G9" t="inlineStr">
        <is>
          <t>USD</t>
        </is>
      </c>
      <c r="H9" t="inlineStr">
        <is>
          <t>Leo</t>
        </is>
      </c>
      <c r="I9" t="inlineStr">
        <is>
          <t>invalid date</t>
        </is>
      </c>
    </row>
    <row r="10">
      <c r="A10" t="inlineStr">
        <is>
          <t>A-1008</t>
        </is>
      </c>
      <c r="B10" t="inlineStr">
        <is>
          <t>Hana Ito</t>
        </is>
      </c>
      <c r="C10" t="inlineStr">
        <is>
          <t>hana@example.com</t>
        </is>
      </c>
      <c r="D10" t="inlineStr">
        <is>
          <t>2026-09-04</t>
        </is>
      </c>
      <c r="E10" t="inlineStr">
        <is>
          <t>unknown</t>
        </is>
      </c>
      <c r="F10" t="n">
        <v>95</v>
      </c>
      <c r="G10" t="inlineStr">
        <is>
          <t>USD</t>
        </is>
      </c>
      <c r="H10" t="inlineStr">
        <is>
          <t>Nora</t>
        </is>
      </c>
      <c r="I10" t="inlineStr">
        <is>
          <t>unknown status</t>
        </is>
      </c>
    </row>
    <row r="11">
      <c r="A11" t="inlineStr">
        <is>
          <t>A-1009</t>
        </is>
      </c>
      <c r="B11" t="inlineStr">
        <is>
          <t>Ivan Petrov</t>
        </is>
      </c>
      <c r="C11" t="inlineStr">
        <is>
          <t>ivan@example.com</t>
        </is>
      </c>
      <c r="D11" t="inlineStr">
        <is>
          <t>2026-09-04</t>
        </is>
      </c>
      <c r="E11" t="inlineStr">
        <is>
          <t>paid</t>
        </is>
      </c>
      <c r="F11" t="n">
        <v>420</v>
      </c>
      <c r="G11" t="inlineStr">
        <is>
          <t>USD</t>
        </is>
      </c>
      <c r="H11" t="inlineStr">
        <is>
          <t>Maya</t>
        </is>
      </c>
      <c r="I11" t="inlineStr"/>
    </row>
    <row r="12">
      <c r="A12" t="inlineStr">
        <is>
          <t>A-1010</t>
        </is>
      </c>
      <c r="B12" t="inlineStr">
        <is>
          <t>Joy Okafor</t>
        </is>
      </c>
      <c r="C12" t="inlineStr">
        <is>
          <t>joy@example.com</t>
        </is>
      </c>
      <c r="D12" t="inlineStr">
        <is>
          <t>2026-09-05</t>
        </is>
      </c>
      <c r="E12" t="inlineStr">
        <is>
          <t>pending</t>
        </is>
      </c>
      <c r="F12" t="n">
        <v>135</v>
      </c>
      <c r="G12" t="inlineStr">
        <is>
          <t>USD</t>
        </is>
      </c>
      <c r="H12" t="inlineStr">
        <is>
          <t>Leo</t>
        </is>
      </c>
      <c r="I12" t="inlineStr"/>
    </row>
    <row r="13">
      <c r="A13" t="inlineStr">
        <is>
          <t>A-1011</t>
        </is>
      </c>
      <c r="B13" t="inlineStr">
        <is>
          <t>Kai Muller</t>
        </is>
      </c>
      <c r="C13" t="inlineStr">
        <is>
          <t>kai@example.com</t>
        </is>
      </c>
      <c r="D13" t="inlineStr">
        <is>
          <t>2026-09-05</t>
        </is>
      </c>
      <c r="E13" t="inlineStr">
        <is>
          <t>paid</t>
        </is>
      </c>
      <c r="F13" t="n">
        <v>210</v>
      </c>
      <c r="G13" t="inlineStr">
        <is>
          <t>USD</t>
        </is>
      </c>
      <c r="H13" t="inlineStr">
        <is>
          <t>Nora</t>
        </is>
      </c>
      <c r="I13" t="inlineStr"/>
    </row>
    <row r="14">
      <c r="A14" t="inlineStr">
        <is>
          <t>A-1012</t>
        </is>
      </c>
      <c r="B14" t="inlineStr">
        <is>
          <t>Lina Haddad</t>
        </is>
      </c>
      <c r="C14" t="inlineStr">
        <is>
          <t>LINA@EXAMPLE.COM</t>
        </is>
      </c>
      <c r="D14" t="inlineStr">
        <is>
          <t>2026-09-05</t>
        </is>
      </c>
      <c r="E14" t="inlineStr">
        <is>
          <t>paid</t>
        </is>
      </c>
      <c r="F14" t="n">
        <v>150</v>
      </c>
      <c r="G14" t="inlineStr">
        <is>
          <t>USD</t>
        </is>
      </c>
      <c r="H14" t="inlineStr">
        <is>
          <t>Maya</t>
        </is>
      </c>
      <c r="I14" t="inlineStr"/>
    </row>
    <row r="15">
      <c r="A15" t="inlineStr">
        <is>
          <t>A-1013</t>
        </is>
      </c>
      <c r="B15" t="inlineStr">
        <is>
          <t>Mina Park</t>
        </is>
      </c>
      <c r="C15" t="inlineStr">
        <is>
          <t>mina@example.com</t>
        </is>
      </c>
      <c r="D15" t="inlineStr">
        <is>
          <t>2026-09-06</t>
        </is>
      </c>
      <c r="E15" t="inlineStr">
        <is>
          <t>pending</t>
        </is>
      </c>
      <c r="F15" t="n">
        <v>0</v>
      </c>
      <c r="G15" t="inlineStr">
        <is>
          <t>USD</t>
        </is>
      </c>
      <c r="H15" t="inlineStr">
        <is>
          <t>Nora</t>
        </is>
      </c>
      <c r="I15" t="inlineStr">
        <is>
          <t>zero amount</t>
        </is>
      </c>
    </row>
    <row r="16">
      <c r="A16" t="inlineStr">
        <is>
          <t>A-1014</t>
        </is>
      </c>
      <c r="B16" t="inlineStr">
        <is>
          <t>Noah Brown</t>
        </is>
      </c>
      <c r="C16" t="inlineStr">
        <is>
          <t>noah@example.com</t>
        </is>
      </c>
      <c r="D16" t="inlineStr">
        <is>
          <t>2026-09-06</t>
        </is>
      </c>
      <c r="E16" t="inlineStr">
        <is>
          <t>paid</t>
        </is>
      </c>
      <c r="F16" t="n">
        <v>280</v>
      </c>
      <c r="G16" t="inlineStr">
        <is>
          <t>USD</t>
        </is>
      </c>
      <c r="H16" t="inlineStr">
        <is>
          <t>Leo</t>
        </is>
      </c>
      <c r="I16" t="inlineStr"/>
    </row>
  </sheetData>
  <autoFilter ref="A1:I16"/>
  <conditionalFormatting sqref="F2:F16">
    <cfRule type="cellIs" priority="1" operator="lessThanOr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27" customWidth="1" min="9" max="9"/>
    <col width="42" customWidth="1" min="10" max="10"/>
    <col width="41" customWidth="1" min="11" max="11"/>
  </cols>
  <sheetData>
    <row r="1">
      <c r="A1" s="1" t="inlineStr">
        <is>
          <t>Record_ID</t>
        </is>
      </c>
      <c r="B1" s="1" t="inlineStr">
        <is>
          <t>Customer</t>
        </is>
      </c>
      <c r="C1" s="1" t="inlineStr">
        <is>
          <t>Email</t>
        </is>
      </c>
      <c r="D1" s="1" t="inlineStr">
        <is>
          <t>Created</t>
        </is>
      </c>
      <c r="E1" s="1" t="inlineStr">
        <is>
          <t>Status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Owner</t>
        </is>
      </c>
      <c r="I1" s="1" t="inlineStr">
        <is>
          <t>Notes</t>
        </is>
      </c>
      <c r="J1" s="1" t="inlineStr">
        <is>
          <t>Owner_Email</t>
        </is>
      </c>
      <c r="K1" s="1" t="inlineStr">
        <is>
          <t>Quality_Check</t>
        </is>
      </c>
    </row>
    <row r="2">
      <c r="A2" t="inlineStr">
        <is>
          <t>A-1001</t>
        </is>
      </c>
      <c r="B2" t="inlineStr">
        <is>
          <t>Alice Chen</t>
        </is>
      </c>
      <c r="C2" t="inlineStr">
        <is>
          <t>alice@example.com</t>
        </is>
      </c>
      <c r="D2" t="inlineStr">
        <is>
          <t>2026-09-01</t>
        </is>
      </c>
      <c r="E2" t="inlineStr">
        <is>
          <t>paid</t>
        </is>
      </c>
      <c r="F2" s="2" t="n">
        <v>120</v>
      </c>
      <c r="G2" t="inlineStr">
        <is>
          <t>USD</t>
        </is>
      </c>
      <c r="H2" t="inlineStr">
        <is>
          <t>Maya</t>
        </is>
      </c>
      <c r="I2" t="inlineStr">
        <is>
          <t>ok</t>
        </is>
      </c>
      <c r="J2">
        <f>IFERROR(VLOOKUP(H2,Lookup!$A:$B,2,FALSE),"REVIEW")</f>
        <v/>
      </c>
      <c r="K2">
        <f>IF(COUNTA(A2:I2)=9,"PASS","REVIEW")</f>
        <v/>
      </c>
    </row>
    <row r="3">
      <c r="A3" t="inlineStr">
        <is>
          <t>A-1002</t>
        </is>
      </c>
      <c r="B3" t="inlineStr">
        <is>
          <t>Bob Li</t>
        </is>
      </c>
      <c r="C3" t="inlineStr">
        <is>
          <t>bob@example.com</t>
        </is>
      </c>
      <c r="D3" t="inlineStr">
        <is>
          <t>2026-09-01</t>
        </is>
      </c>
      <c r="E3" t="inlineStr">
        <is>
          <t>pending</t>
        </is>
      </c>
      <c r="F3" s="2" t="n">
        <v>80</v>
      </c>
      <c r="G3" t="inlineStr">
        <is>
          <t>USD</t>
        </is>
      </c>
      <c r="H3" t="inlineStr">
        <is>
          <t>Leo</t>
        </is>
      </c>
      <c r="I3" t="inlineStr"/>
      <c r="J3">
        <f>IFERROR(VLOOKUP(H3,Lookup!$A:$B,2,FALSE),"REVIEW")</f>
        <v/>
      </c>
      <c r="K3">
        <f>IF(COUNTA(A3:I3)=9,"PASS","REVIEW")</f>
        <v/>
      </c>
    </row>
    <row r="4">
      <c r="A4" t="inlineStr">
        <is>
          <t>A-1005</t>
        </is>
      </c>
      <c r="B4" t="inlineStr">
        <is>
          <t>Elena Petrova</t>
        </is>
      </c>
      <c r="C4" t="inlineStr">
        <is>
          <t>elena@example.com</t>
        </is>
      </c>
      <c r="D4" t="inlineStr">
        <is>
          <t>2026-09-03</t>
        </is>
      </c>
      <c r="E4" t="inlineStr">
        <is>
          <t>paid</t>
        </is>
      </c>
      <c r="F4" s="2" t="n">
        <v>310</v>
      </c>
      <c r="G4" t="inlineStr">
        <is>
          <t>USD</t>
        </is>
      </c>
      <c r="H4" t="inlineStr">
        <is>
          <t>Nora</t>
        </is>
      </c>
      <c r="I4" t="inlineStr">
        <is>
          <t>date needs normalization</t>
        </is>
      </c>
      <c r="J4">
        <f>IFERROR(VLOOKUP(H4,Lookup!$A:$B,2,FALSE),"REVIEW")</f>
        <v/>
      </c>
      <c r="K4">
        <f>IF(COUNTA(A4:I4)=9,"PASS","REVIEW")</f>
        <v/>
      </c>
    </row>
    <row r="5">
      <c r="A5" t="inlineStr">
        <is>
          <t>A-1006</t>
        </is>
      </c>
      <c r="B5" t="inlineStr">
        <is>
          <t>Fatima Noor</t>
        </is>
      </c>
      <c r="C5" t="inlineStr">
        <is>
          <t>fatima@example.com</t>
        </is>
      </c>
      <c r="D5" t="inlineStr">
        <is>
          <t>2026-09-03</t>
        </is>
      </c>
      <c r="E5" t="inlineStr">
        <is>
          <t>paid</t>
        </is>
      </c>
      <c r="F5" s="2" t="n">
        <v>175</v>
      </c>
      <c r="G5" t="inlineStr">
        <is>
          <t>USD</t>
        </is>
      </c>
      <c r="H5" t="inlineStr">
        <is>
          <t>Maya</t>
        </is>
      </c>
      <c r="I5" t="inlineStr"/>
      <c r="J5">
        <f>IFERROR(VLOOKUP(H5,Lookup!$A:$B,2,FALSE),"REVIEW")</f>
        <v/>
      </c>
      <c r="K5">
        <f>IF(COUNTA(A5:I5)=9,"PASS","REVIEW")</f>
        <v/>
      </c>
    </row>
    <row r="6">
      <c r="A6" t="inlineStr">
        <is>
          <t>A-1009</t>
        </is>
      </c>
      <c r="B6" t="inlineStr">
        <is>
          <t>Ivan Petrov</t>
        </is>
      </c>
      <c r="C6" t="inlineStr">
        <is>
          <t>ivan@example.com</t>
        </is>
      </c>
      <c r="D6" t="inlineStr">
        <is>
          <t>2026-09-04</t>
        </is>
      </c>
      <c r="E6" t="inlineStr">
        <is>
          <t>paid</t>
        </is>
      </c>
      <c r="F6" s="2" t="n">
        <v>420</v>
      </c>
      <c r="G6" t="inlineStr">
        <is>
          <t>USD</t>
        </is>
      </c>
      <c r="H6" t="inlineStr">
        <is>
          <t>Maya</t>
        </is>
      </c>
      <c r="I6" t="inlineStr"/>
      <c r="J6">
        <f>IFERROR(VLOOKUP(H6,Lookup!$A:$B,2,FALSE),"REVIEW")</f>
        <v/>
      </c>
      <c r="K6">
        <f>IF(COUNTA(A6:I6)=9,"PASS","REVIEW")</f>
        <v/>
      </c>
    </row>
    <row r="7">
      <c r="A7" t="inlineStr">
        <is>
          <t>A-1010</t>
        </is>
      </c>
      <c r="B7" t="inlineStr">
        <is>
          <t>Joy Okafor</t>
        </is>
      </c>
      <c r="C7" t="inlineStr">
        <is>
          <t>joy@example.com</t>
        </is>
      </c>
      <c r="D7" t="inlineStr">
        <is>
          <t>2026-09-05</t>
        </is>
      </c>
      <c r="E7" t="inlineStr">
        <is>
          <t>pending</t>
        </is>
      </c>
      <c r="F7" s="2" t="n">
        <v>135</v>
      </c>
      <c r="G7" t="inlineStr">
        <is>
          <t>USD</t>
        </is>
      </c>
      <c r="H7" t="inlineStr">
        <is>
          <t>Leo</t>
        </is>
      </c>
      <c r="I7" t="inlineStr"/>
      <c r="J7">
        <f>IFERROR(VLOOKUP(H7,Lookup!$A:$B,2,FALSE),"REVIEW")</f>
        <v/>
      </c>
      <c r="K7">
        <f>IF(COUNTA(A7:I7)=9,"PASS","REVIEW")</f>
        <v/>
      </c>
    </row>
    <row r="8">
      <c r="A8" t="inlineStr">
        <is>
          <t>A-1011</t>
        </is>
      </c>
      <c r="B8" t="inlineStr">
        <is>
          <t>Kai Muller</t>
        </is>
      </c>
      <c r="C8" t="inlineStr">
        <is>
          <t>kai@example.com</t>
        </is>
      </c>
      <c r="D8" t="inlineStr">
        <is>
          <t>2026-09-05</t>
        </is>
      </c>
      <c r="E8" t="inlineStr">
        <is>
          <t>paid</t>
        </is>
      </c>
      <c r="F8" s="2" t="n">
        <v>210</v>
      </c>
      <c r="G8" t="inlineStr">
        <is>
          <t>USD</t>
        </is>
      </c>
      <c r="H8" t="inlineStr">
        <is>
          <t>Nora</t>
        </is>
      </c>
      <c r="I8" t="inlineStr"/>
      <c r="J8">
        <f>IFERROR(VLOOKUP(H8,Lookup!$A:$B,2,FALSE),"REVIEW")</f>
        <v/>
      </c>
      <c r="K8">
        <f>IF(COUNTA(A8:I8)=9,"PASS","REVIEW")</f>
        <v/>
      </c>
    </row>
    <row r="9">
      <c r="A9" t="inlineStr">
        <is>
          <t>A-1012</t>
        </is>
      </c>
      <c r="B9" t="inlineStr">
        <is>
          <t>Lina Haddad</t>
        </is>
      </c>
      <c r="C9" t="inlineStr">
        <is>
          <t>lina@example.com</t>
        </is>
      </c>
      <c r="D9" t="inlineStr">
        <is>
          <t>2026-09-05</t>
        </is>
      </c>
      <c r="E9" t="inlineStr">
        <is>
          <t>paid</t>
        </is>
      </c>
      <c r="F9" s="2" t="n">
        <v>150</v>
      </c>
      <c r="G9" t="inlineStr">
        <is>
          <t>USD</t>
        </is>
      </c>
      <c r="H9" t="inlineStr">
        <is>
          <t>Maya</t>
        </is>
      </c>
      <c r="I9" t="inlineStr"/>
      <c r="J9">
        <f>IFERROR(VLOOKUP(H9,Lookup!$A:$B,2,FALSE),"REVIEW")</f>
        <v/>
      </c>
      <c r="K9">
        <f>IF(COUNTA(A9:I9)=9,"PASS","REVIEW")</f>
        <v/>
      </c>
    </row>
    <row r="10">
      <c r="A10" t="inlineStr">
        <is>
          <t>A-1014</t>
        </is>
      </c>
      <c r="B10" t="inlineStr">
        <is>
          <t>Noah Brown</t>
        </is>
      </c>
      <c r="C10" t="inlineStr">
        <is>
          <t>noah@example.com</t>
        </is>
      </c>
      <c r="D10" t="inlineStr">
        <is>
          <t>2026-09-06</t>
        </is>
      </c>
      <c r="E10" t="inlineStr">
        <is>
          <t>paid</t>
        </is>
      </c>
      <c r="F10" s="2" t="n">
        <v>280</v>
      </c>
      <c r="G10" t="inlineStr">
        <is>
          <t>USD</t>
        </is>
      </c>
      <c r="H10" t="inlineStr">
        <is>
          <t>Leo</t>
        </is>
      </c>
      <c r="I10" t="inlineStr"/>
      <c r="J10">
        <f>IFERROR(VLOOKUP(H10,Lookup!$A:$B,2,FALSE),"REVIEW")</f>
        <v/>
      </c>
      <c r="K10">
        <f>IF(COUNTA(A10:I10)=9,"PASS","REVIEW")</f>
        <v/>
      </c>
    </row>
  </sheetData>
  <autoFilter ref="A1:K10"/>
  <conditionalFormatting sqref="K2:K10">
    <cfRule type="expression" priority="1" dxfId="1">
      <formula>$K2&lt;&gt;"PASS"</formula>
    </cfRule>
  </conditionalFormatting>
  <dataValidations count="1">
    <dataValidation sqref="E2:E10" showDropDown="0" showInputMessage="0" showErrorMessage="0" allowBlank="0" type="list">
      <formula1>"paid,pending,refunded"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25" customWidth="1" min="4" max="4"/>
    <col width="29" customWidth="1" min="5" max="5"/>
  </cols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Record_ID</t>
        </is>
      </c>
      <c r="D1" s="1" t="inlineStr">
        <is>
          <t>Issue</t>
        </is>
      </c>
      <c r="E1" s="1" t="inlineStr">
        <is>
          <t>Required_Action</t>
        </is>
      </c>
    </row>
    <row r="2">
      <c r="A2" t="inlineStr">
        <is>
          <t>Raw_Data</t>
        </is>
      </c>
      <c r="B2" t="n">
        <v>4</v>
      </c>
      <c r="C2" t="inlineStr">
        <is>
          <t>A-1002</t>
        </is>
      </c>
      <c r="D2" t="inlineStr">
        <is>
          <t>Duplicate Record_ID</t>
        </is>
      </c>
      <c r="E2" t="inlineStr">
        <is>
          <t>Do not load until reviewed</t>
        </is>
      </c>
    </row>
    <row r="3">
      <c r="A3" t="inlineStr">
        <is>
          <t>Raw_Data</t>
        </is>
      </c>
      <c r="B3" t="n">
        <v>5</v>
      </c>
      <c r="C3" t="inlineStr">
        <is>
          <t>A-1003</t>
        </is>
      </c>
      <c r="D3" t="inlineStr">
        <is>
          <t>Missing email</t>
        </is>
      </c>
      <c r="E3" t="inlineStr">
        <is>
          <t>Review before loading</t>
        </is>
      </c>
    </row>
    <row r="4">
      <c r="A4" t="inlineStr">
        <is>
          <t>Raw_Data</t>
        </is>
      </c>
      <c r="B4" t="n">
        <v>6</v>
      </c>
      <c r="C4" t="inlineStr">
        <is>
          <t>A-1004</t>
        </is>
      </c>
      <c r="D4" t="inlineStr">
        <is>
          <t>Amount is not positive</t>
        </is>
      </c>
      <c r="E4" t="inlineStr">
        <is>
          <t>Review before loading</t>
        </is>
      </c>
    </row>
    <row r="5">
      <c r="A5" t="inlineStr">
        <is>
          <t>Raw_Data</t>
        </is>
      </c>
      <c r="B5" t="n">
        <v>9</v>
      </c>
      <c r="C5" t="inlineStr">
        <is>
          <t>A-1007</t>
        </is>
      </c>
      <c r="D5" t="inlineStr">
        <is>
          <t>Invalid date</t>
        </is>
      </c>
      <c r="E5" t="inlineStr">
        <is>
          <t>Review before loading</t>
        </is>
      </c>
    </row>
    <row r="6">
      <c r="A6" t="inlineStr">
        <is>
          <t>Raw_Data</t>
        </is>
      </c>
      <c r="B6" t="n">
        <v>10</v>
      </c>
      <c r="C6" t="inlineStr">
        <is>
          <t>A-1008</t>
        </is>
      </c>
      <c r="D6" t="inlineStr">
        <is>
          <t>Unknown status</t>
        </is>
      </c>
      <c r="E6" t="inlineStr">
        <is>
          <t>Review before loading</t>
        </is>
      </c>
    </row>
    <row r="7">
      <c r="A7" t="inlineStr">
        <is>
          <t>Raw_Data</t>
        </is>
      </c>
      <c r="B7" t="n">
        <v>15</v>
      </c>
      <c r="C7" t="inlineStr">
        <is>
          <t>A-1013</t>
        </is>
      </c>
      <c r="D7" t="inlineStr">
        <is>
          <t>Amount is not positive</t>
        </is>
      </c>
      <c r="E7" t="inlineStr">
        <is>
          <t>Review before loading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1" t="inlineStr">
        <is>
          <t>Owner</t>
        </is>
      </c>
      <c r="B1" s="1" t="inlineStr">
        <is>
          <t>Owner_Email</t>
        </is>
      </c>
    </row>
    <row r="2">
      <c r="A2" t="inlineStr">
        <is>
          <t>Maya</t>
        </is>
      </c>
      <c r="B2" t="inlineStr">
        <is>
          <t>maya@internal.example</t>
        </is>
      </c>
    </row>
    <row r="3">
      <c r="A3" t="inlineStr">
        <is>
          <t>Leo</t>
        </is>
      </c>
      <c r="B3" t="inlineStr">
        <is>
          <t>leo@internal.example</t>
        </is>
      </c>
    </row>
    <row r="4">
      <c r="A4" t="inlineStr">
        <is>
          <t>Nora</t>
        </is>
      </c>
      <c r="B4" t="inlineStr">
        <is>
          <t>nora@internal.example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36" customWidth="1" min="4" max="4"/>
    <col width="42" customWidth="1" min="5" max="5"/>
  </cols>
  <sheetData>
    <row r="1">
      <c r="A1" s="1" t="inlineStr">
        <is>
          <t>Owner</t>
        </is>
      </c>
      <c r="B1" s="1" t="inlineStr">
        <is>
          <t>Paid_Total</t>
        </is>
      </c>
      <c r="C1" s="1" t="inlineStr">
        <is>
          <t>Pending_Total</t>
        </is>
      </c>
      <c r="D1" s="1" t="inlineStr">
        <is>
          <t>Record_Count</t>
        </is>
      </c>
      <c r="E1" s="1" t="inlineStr">
        <is>
          <t>Review_Count</t>
        </is>
      </c>
    </row>
    <row r="2">
      <c r="A2" t="inlineStr">
        <is>
          <t>Maya</t>
        </is>
      </c>
      <c r="B2" s="2">
        <f>SUMIFS(Clean_Records!$F:$F,Clean_Records!$H:$H,$A2,Clean_Records!$E:$E,"paid")</f>
        <v/>
      </c>
      <c r="C2" s="2">
        <f>SUMIFS(Clean_Records!$F:$F,Clean_Records!$H:$H,$A2,Clean_Records!$E:$E,"pending")</f>
        <v/>
      </c>
      <c r="D2">
        <f>COUNTIF(Clean_Records!$H:$H,$A2)</f>
        <v/>
      </c>
      <c r="E2">
        <f>COUNTIFS(Clean_Records!$H:$H,$A2,Clean_Records!$K:$K,"REVIEW")</f>
        <v/>
      </c>
    </row>
    <row r="3">
      <c r="A3" t="inlineStr">
        <is>
          <t>Leo</t>
        </is>
      </c>
      <c r="B3" s="2">
        <f>SUMIFS(Clean_Records!$F:$F,Clean_Records!$H:$H,$A3,Clean_Records!$E:$E,"paid")</f>
        <v/>
      </c>
      <c r="C3" s="2">
        <f>SUMIFS(Clean_Records!$F:$F,Clean_Records!$H:$H,$A3,Clean_Records!$E:$E,"pending")</f>
        <v/>
      </c>
      <c r="D3">
        <f>COUNTIF(Clean_Records!$H:$H,$A3)</f>
        <v/>
      </c>
      <c r="E3">
        <f>COUNTIFS(Clean_Records!$H:$H,$A3,Clean_Records!$K:$K,"REVIEW")</f>
        <v/>
      </c>
    </row>
    <row r="4">
      <c r="A4" t="inlineStr">
        <is>
          <t>Nora</t>
        </is>
      </c>
      <c r="B4" s="2">
        <f>SUMIFS(Clean_Records!$F:$F,Clean_Records!$H:$H,$A4,Clean_Records!$E:$E,"paid")</f>
        <v/>
      </c>
      <c r="C4" s="2">
        <f>SUMIFS(Clean_Records!$F:$F,Clean_Records!$H:$H,$A4,Clean_Records!$E:$E,"pending")</f>
        <v/>
      </c>
      <c r="D4">
        <f>COUNTIF(Clean_Records!$H:$H,$A4)</f>
        <v/>
      </c>
      <c r="E4">
        <f>COUNTIFS(Clean_Records!$H:$H,$A4,Clean_Records!$K:$K,"REVIEW")</f>
        <v/>
      </c>
    </row>
    <row r="5">
      <c r="A5" t="inlineStr">
        <is>
          <t>TOTAL</t>
        </is>
      </c>
      <c r="B5" s="2">
        <f>SUM(B2:B4)</f>
        <v/>
      </c>
      <c r="C5" s="2">
        <f>SUM(C2:C4)</f>
        <v/>
      </c>
      <c r="D5">
        <f>SUM(D2:D4)</f>
        <v/>
      </c>
      <c r="E5">
        <f>SUM(E2:E4)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42" customWidth="1" min="3" max="3"/>
  </cols>
  <sheetData>
    <row r="1">
      <c r="A1" s="1" t="inlineStr">
        <is>
          <t>Area</t>
        </is>
      </c>
      <c r="B1" s="1" t="inlineStr">
        <is>
          <t>Rule</t>
        </is>
      </c>
      <c r="C1" s="1" t="inlineStr">
        <is>
          <t>Result</t>
        </is>
      </c>
    </row>
    <row r="2">
      <c r="A2" t="inlineStr">
        <is>
          <t>Identity</t>
        </is>
      </c>
      <c r="B2" t="inlineStr">
        <is>
          <t>Record_ID must be unique</t>
        </is>
      </c>
      <c r="C2" t="inlineStr">
        <is>
          <t>Duplicates are quarantined</t>
        </is>
      </c>
    </row>
    <row r="3">
      <c r="A3" t="inlineStr">
        <is>
          <t>Customer</t>
        </is>
      </c>
      <c r="B3" t="inlineStr">
        <is>
          <t>Trim outer whitespace</t>
        </is>
      </c>
      <c r="C3" t="inlineStr">
        <is>
          <t>Normalized customer name</t>
        </is>
      </c>
    </row>
    <row r="4">
      <c r="A4" t="inlineStr">
        <is>
          <t>Email</t>
        </is>
      </c>
      <c r="B4" t="inlineStr">
        <is>
          <t>Require non-empty, lower-case address</t>
        </is>
      </c>
      <c r="C4" t="inlineStr">
        <is>
          <t>Missing values are quarantined</t>
        </is>
      </c>
    </row>
    <row r="5">
      <c r="A5" t="inlineStr">
        <is>
          <t>Date</t>
        </is>
      </c>
      <c r="B5" t="inlineStr">
        <is>
          <t>Use YYYY-MM-DD</t>
        </is>
      </c>
      <c r="C5" t="inlineStr">
        <is>
          <t>Convertible US dates are normalized</t>
        </is>
      </c>
    </row>
    <row r="6">
      <c r="A6" t="inlineStr">
        <is>
          <t>Status</t>
        </is>
      </c>
      <c r="B6" t="inlineStr">
        <is>
          <t>paid, pending, refunded</t>
        </is>
      </c>
      <c r="C6" t="inlineStr">
        <is>
          <t>Unknown values are quarantined</t>
        </is>
      </c>
    </row>
    <row r="7">
      <c r="A7" t="inlineStr">
        <is>
          <t>Amount</t>
        </is>
      </c>
      <c r="B7" t="inlineStr">
        <is>
          <t>Must be numeric and positive</t>
        </is>
      </c>
      <c r="C7" t="inlineStr">
        <is>
          <t>Zero and negative values are quarantined</t>
        </is>
      </c>
    </row>
    <row r="8">
      <c r="A8" t="inlineStr">
        <is>
          <t>Owner</t>
        </is>
      </c>
      <c r="B8" t="inlineStr">
        <is>
          <t>Must exist in Lookup</t>
        </is>
      </c>
      <c r="C8" t="inlineStr">
        <is>
          <t>VLOOKUP returns REVIEW when unmatched</t>
        </is>
      </c>
    </row>
    <row r="9">
      <c r="A9" t="inlineStr">
        <is>
          <t>Audit</t>
        </is>
      </c>
      <c r="B9" t="inlineStr">
        <is>
          <t>Every change or exception is traceable</t>
        </is>
      </c>
      <c r="C9" t="inlineStr">
        <is>
          <t>Exceptions sheet records source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2026-09-19T11:04:38Z</dcterms:created>
  <dcterms:modified xmlns:dcterms="http://purl.org/dc/terms/" xmlns:xsi="http://www.w3.org/2001/XMLSchema-instance" xsi:type="dcterms:W3CDTF">2026-09-19T11:04:38Z</dcterms:modified>
</cp:coreProperties>
</file>